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BCARD\Desktop\"/>
    </mc:Choice>
  </mc:AlternateContent>
  <bookViews>
    <workbookView minimized="1" xWindow="0" yWindow="0" windowWidth="23040" windowHeight="9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1" l="1"/>
  <c r="R13" i="1"/>
  <c r="R14" i="1"/>
  <c r="R15" i="1"/>
  <c r="R16" i="1"/>
  <c r="Q12" i="1"/>
  <c r="Q13" i="1"/>
  <c r="Q14" i="1"/>
  <c r="Q15" i="1"/>
  <c r="Q16" i="1"/>
  <c r="P12" i="1"/>
  <c r="P13" i="1"/>
  <c r="P14" i="1"/>
  <c r="P15" i="1"/>
  <c r="P16" i="1"/>
  <c r="O12" i="1"/>
  <c r="O13" i="1"/>
  <c r="O14" i="1"/>
  <c r="O15" i="1"/>
  <c r="O16" i="1"/>
  <c r="O11" i="1"/>
  <c r="P11" i="1"/>
  <c r="Q11" i="1"/>
  <c r="R11" i="1"/>
  <c r="S11" i="1"/>
  <c r="S12" i="1"/>
  <c r="S14" i="1"/>
  <c r="S15" i="1"/>
  <c r="S16" i="1"/>
  <c r="S13" i="1"/>
  <c r="P8" i="1"/>
  <c r="R8" i="1" s="1"/>
  <c r="Q8" i="1"/>
  <c r="Q5" i="1"/>
  <c r="P5" i="1"/>
  <c r="R5" i="1" s="1"/>
  <c r="Q2" i="1"/>
  <c r="P2" i="1"/>
  <c r="R2" i="1" s="1"/>
  <c r="G9" i="1"/>
  <c r="G8" i="1"/>
  <c r="G7" i="1"/>
  <c r="G4" i="1" l="1"/>
  <c r="G3" i="1"/>
  <c r="G2" i="1"/>
  <c r="C9" i="1" l="1"/>
  <c r="C8" i="1"/>
  <c r="C7" i="1"/>
  <c r="C3" i="1"/>
  <c r="K7" i="1"/>
  <c r="K2" i="1"/>
  <c r="C2" i="1"/>
</calcChain>
</file>

<file path=xl/sharedStrings.xml><?xml version="1.0" encoding="utf-8"?>
<sst xmlns="http://schemas.openxmlformats.org/spreadsheetml/2006/main" count="43" uniqueCount="23">
  <si>
    <t>ma5</t>
    <phoneticPr fontId="1" type="noConversion"/>
  </si>
  <si>
    <t>ma185</t>
    <phoneticPr fontId="1" type="noConversion"/>
  </si>
  <si>
    <t>이격도</t>
    <phoneticPr fontId="1" type="noConversion"/>
  </si>
  <si>
    <t>현재가</t>
    <phoneticPr fontId="1" type="noConversion"/>
  </si>
  <si>
    <t>ma40</t>
    <phoneticPr fontId="1" type="noConversion"/>
  </si>
  <si>
    <t>ma90</t>
    <phoneticPr fontId="1" type="noConversion"/>
  </si>
  <si>
    <t>ma5</t>
    <phoneticPr fontId="1" type="noConversion"/>
  </si>
  <si>
    <t>ma5 전</t>
    <phoneticPr fontId="1" type="noConversion"/>
  </si>
  <si>
    <t>ma5 후</t>
    <phoneticPr fontId="1" type="noConversion"/>
  </si>
  <si>
    <t>전경사</t>
    <phoneticPr fontId="1" type="noConversion"/>
  </si>
  <si>
    <t>후경사</t>
    <phoneticPr fontId="1" type="noConversion"/>
  </si>
  <si>
    <t>경사평균</t>
    <phoneticPr fontId="1" type="noConversion"/>
  </si>
  <si>
    <t>ma40 전</t>
    <phoneticPr fontId="1" type="noConversion"/>
  </si>
  <si>
    <t>ma40</t>
    <phoneticPr fontId="1" type="noConversion"/>
  </si>
  <si>
    <t>ma40 후</t>
    <phoneticPr fontId="1" type="noConversion"/>
  </si>
  <si>
    <t>ma185 후</t>
    <phoneticPr fontId="1" type="noConversion"/>
  </si>
  <si>
    <t>ma185</t>
    <phoneticPr fontId="1" type="noConversion"/>
  </si>
  <si>
    <t>ma185 전</t>
    <phoneticPr fontId="1" type="noConversion"/>
  </si>
  <si>
    <t>경사치(10)</t>
    <phoneticPr fontId="1" type="noConversion"/>
  </si>
  <si>
    <t>경사치(100)</t>
    <phoneticPr fontId="1" type="noConversion"/>
  </si>
  <si>
    <t>경사치(1000)</t>
    <phoneticPr fontId="1" type="noConversion"/>
  </si>
  <si>
    <t>경사치(10000)</t>
    <phoneticPr fontId="1" type="noConversion"/>
  </si>
  <si>
    <t>경사치(5000)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</si>
</sst>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topLeftCell="E4" workbookViewId="0">
      <selection activeCell="V9" sqref="V9"/>
    </sheetView>
  </sheetViews>
  <sheetFormatPr defaultRowHeight="17.399999999999999" x14ac:dyDescent="0.4"/>
  <cols>
    <col min="17" max="17" width="12.5" customWidth="1"/>
    <col min="18" max="18" width="10.796875" customWidth="1"/>
    <col min="19" max="19" width="13" customWidth="1"/>
  </cols>
  <sheetData>
    <row r="1" spans="1:19" x14ac:dyDescent="0.4">
      <c r="A1" s="3" t="s">
        <v>0</v>
      </c>
      <c r="B1" s="3" t="s">
        <v>1</v>
      </c>
      <c r="C1" s="3" t="s">
        <v>2</v>
      </c>
      <c r="E1" s="3" t="s">
        <v>4</v>
      </c>
      <c r="F1" s="3" t="s">
        <v>5</v>
      </c>
      <c r="G1" s="3" t="s">
        <v>2</v>
      </c>
      <c r="I1" s="3" t="s">
        <v>3</v>
      </c>
      <c r="J1" s="3" t="s">
        <v>1</v>
      </c>
      <c r="K1" s="3" t="s">
        <v>2</v>
      </c>
      <c r="M1" s="4" t="s">
        <v>7</v>
      </c>
      <c r="N1" s="4" t="s">
        <v>6</v>
      </c>
      <c r="O1" s="4" t="s">
        <v>8</v>
      </c>
      <c r="P1" s="4" t="s">
        <v>9</v>
      </c>
      <c r="Q1" s="4" t="s">
        <v>10</v>
      </c>
      <c r="R1" s="4" t="s">
        <v>11</v>
      </c>
    </row>
    <row r="2" spans="1:19" x14ac:dyDescent="0.4">
      <c r="A2" s="1">
        <v>130.6</v>
      </c>
      <c r="B2" s="1">
        <v>151.9</v>
      </c>
      <c r="C2" s="1">
        <f>(A2-B2)/B2*100</f>
        <v>-14.022383146807115</v>
      </c>
      <c r="E2" s="1">
        <v>145.4</v>
      </c>
      <c r="F2" s="1">
        <v>151.69999999999999</v>
      </c>
      <c r="G2" s="1">
        <f>(E2-F2)/F2*100</f>
        <v>-4.1529334212260931</v>
      </c>
      <c r="I2" s="1">
        <v>67.95</v>
      </c>
      <c r="J2" s="1">
        <v>80.72</v>
      </c>
      <c r="K2" s="1">
        <f>(I2-J2)/J2*100</f>
        <v>-15.820118929633296</v>
      </c>
      <c r="M2" s="2"/>
      <c r="N2" s="2"/>
      <c r="O2" s="2"/>
      <c r="P2" s="2" t="e">
        <f>(N2-M2)/M2*100</f>
        <v>#DIV/0!</v>
      </c>
      <c r="Q2" s="2" t="e">
        <f>(O2-N2)/N2*100</f>
        <v>#DIV/0!</v>
      </c>
      <c r="R2" s="2" t="e">
        <f>AVERAGE(P2:Q2)</f>
        <v>#DIV/0!</v>
      </c>
    </row>
    <row r="3" spans="1:19" x14ac:dyDescent="0.4">
      <c r="A3" s="1">
        <v>66.28</v>
      </c>
      <c r="B3" s="1">
        <v>80.67</v>
      </c>
      <c r="C3" s="1">
        <f>(A3-B3)/B3*100</f>
        <v>-17.838105863394073</v>
      </c>
      <c r="E3" s="1"/>
      <c r="F3" s="1"/>
      <c r="G3" s="1" t="e">
        <f>(E3-F3)/F3*100</f>
        <v>#DIV/0!</v>
      </c>
    </row>
    <row r="4" spans="1:19" x14ac:dyDescent="0.4">
      <c r="E4" s="1"/>
      <c r="F4" s="1"/>
      <c r="G4" s="1" t="e">
        <f>(E4-F4)/F4*100</f>
        <v>#DIV/0!</v>
      </c>
      <c r="M4" s="4" t="s">
        <v>12</v>
      </c>
      <c r="N4" s="4" t="s">
        <v>13</v>
      </c>
      <c r="O4" s="4" t="s">
        <v>14</v>
      </c>
      <c r="P4" s="4" t="s">
        <v>9</v>
      </c>
      <c r="Q4" s="4" t="s">
        <v>10</v>
      </c>
      <c r="R4" s="4" t="s">
        <v>11</v>
      </c>
    </row>
    <row r="5" spans="1:19" x14ac:dyDescent="0.4">
      <c r="M5" s="2"/>
      <c r="N5" s="2"/>
      <c r="O5" s="2"/>
      <c r="P5" s="2" t="e">
        <f>(N5-M5)/M5*100</f>
        <v>#DIV/0!</v>
      </c>
      <c r="Q5" s="2" t="e">
        <f>(O5-N5)/N5*100</f>
        <v>#DIV/0!</v>
      </c>
      <c r="R5" s="2" t="e">
        <f>AVERAGE(P5:Q5)</f>
        <v>#DIV/0!</v>
      </c>
    </row>
    <row r="6" spans="1:19" x14ac:dyDescent="0.4">
      <c r="A6" s="3" t="s">
        <v>0</v>
      </c>
      <c r="B6" s="3" t="s">
        <v>4</v>
      </c>
      <c r="C6" s="3" t="s">
        <v>2</v>
      </c>
      <c r="E6" s="3" t="s">
        <v>4</v>
      </c>
      <c r="F6" s="3" t="s">
        <v>1</v>
      </c>
      <c r="G6" s="3" t="s">
        <v>2</v>
      </c>
      <c r="I6" s="3" t="s">
        <v>3</v>
      </c>
      <c r="J6" s="3" t="s">
        <v>4</v>
      </c>
      <c r="K6" s="3" t="s">
        <v>2</v>
      </c>
    </row>
    <row r="7" spans="1:19" x14ac:dyDescent="0.4">
      <c r="A7" s="1">
        <v>77.62</v>
      </c>
      <c r="B7" s="1">
        <v>75.56</v>
      </c>
      <c r="C7" s="1">
        <f>(A7-B7)/B7*100</f>
        <v>2.7263102170460591</v>
      </c>
      <c r="E7" s="1">
        <v>20.49</v>
      </c>
      <c r="F7" s="1">
        <v>20.11</v>
      </c>
      <c r="G7" s="1">
        <f>(E7-F7)/F7*100</f>
        <v>1.8896071606166038</v>
      </c>
      <c r="I7" s="1">
        <v>130.6</v>
      </c>
      <c r="J7" s="1">
        <v>151.9</v>
      </c>
      <c r="K7" s="1">
        <f>(I7-J7)/J7*100</f>
        <v>-14.022383146807115</v>
      </c>
      <c r="M7" s="4" t="s">
        <v>17</v>
      </c>
      <c r="N7" s="4" t="s">
        <v>16</v>
      </c>
      <c r="O7" s="4" t="s">
        <v>15</v>
      </c>
      <c r="P7" s="4" t="s">
        <v>9</v>
      </c>
      <c r="Q7" s="4" t="s">
        <v>10</v>
      </c>
      <c r="R7" s="4" t="s">
        <v>11</v>
      </c>
    </row>
    <row r="8" spans="1:19" x14ac:dyDescent="0.4">
      <c r="A8" s="1">
        <v>78.16</v>
      </c>
      <c r="B8" s="1">
        <v>78.040000000000006</v>
      </c>
      <c r="C8" s="1">
        <f>(A8-B8)/B8*100</f>
        <v>0.15376729882110499</v>
      </c>
      <c r="E8" s="1">
        <v>25.52</v>
      </c>
      <c r="F8" s="1">
        <v>25.64</v>
      </c>
      <c r="G8" s="1">
        <f>(E8-F8)/F8*100</f>
        <v>-0.46801872074883377</v>
      </c>
      <c r="M8" s="2"/>
      <c r="N8" s="2"/>
      <c r="O8" s="2"/>
      <c r="P8" s="2" t="e">
        <f>(N8-M8)/M8*100</f>
        <v>#DIV/0!</v>
      </c>
      <c r="Q8" s="2" t="e">
        <f>(O8-N8)/N8*100</f>
        <v>#DIV/0!</v>
      </c>
      <c r="R8" s="2" t="e">
        <f>AVERAGE(P8:Q8)</f>
        <v>#DIV/0!</v>
      </c>
    </row>
    <row r="9" spans="1:19" x14ac:dyDescent="0.4">
      <c r="A9" s="1">
        <v>70.19</v>
      </c>
      <c r="B9" s="1">
        <v>72.319999999999993</v>
      </c>
      <c r="C9" s="1">
        <f>(A9-B9)/B9*100</f>
        <v>-2.9452433628318522</v>
      </c>
      <c r="E9" s="1"/>
      <c r="F9" s="1"/>
      <c r="G9" s="1" t="e">
        <f>(E9-F9)/F9*100</f>
        <v>#DIV/0!</v>
      </c>
    </row>
    <row r="10" spans="1:19" x14ac:dyDescent="0.4">
      <c r="M10" s="4" t="s">
        <v>17</v>
      </c>
      <c r="N10" s="4" t="s">
        <v>16</v>
      </c>
      <c r="O10" s="4" t="s">
        <v>18</v>
      </c>
      <c r="P10" s="4" t="s">
        <v>19</v>
      </c>
      <c r="Q10" s="4" t="s">
        <v>20</v>
      </c>
      <c r="R10" s="4" t="s">
        <v>22</v>
      </c>
      <c r="S10" s="4" t="s">
        <v>21</v>
      </c>
    </row>
    <row r="11" spans="1:19" x14ac:dyDescent="0.4">
      <c r="M11" s="2">
        <v>20.12</v>
      </c>
      <c r="N11" s="2">
        <v>20.11</v>
      </c>
      <c r="O11" s="2">
        <f>($N11-$M11)/0.001</f>
        <v>-10.000000000001563</v>
      </c>
      <c r="P11" s="6">
        <f>($N11-$M11)/0.01</f>
        <v>-1.0000000000001563</v>
      </c>
      <c r="Q11" s="2">
        <f>($N11-$M11)/0.1</f>
        <v>-0.10000000000001563</v>
      </c>
      <c r="R11" s="2">
        <f>($N11-$M11)</f>
        <v>-1.0000000000001563E-2</v>
      </c>
      <c r="S11" s="2">
        <f t="shared" ref="S11:S12" si="0">($N11-$M11)/5</f>
        <v>-2.0000000000003127E-3</v>
      </c>
    </row>
    <row r="12" spans="1:19" x14ac:dyDescent="0.4">
      <c r="M12" s="2">
        <v>296</v>
      </c>
      <c r="N12" s="2">
        <v>295</v>
      </c>
      <c r="O12" s="2">
        <f t="shared" ref="O12:O16" si="1">($N12-$M12)/0.001</f>
        <v>-1000</v>
      </c>
      <c r="P12" s="5">
        <f t="shared" ref="P12:P16" si="2">($N12-$M12)/0.01</f>
        <v>-100</v>
      </c>
      <c r="Q12" s="2">
        <f t="shared" ref="Q12:Q16" si="3">($N12-$M12)/0.1</f>
        <v>-10</v>
      </c>
      <c r="R12" s="6">
        <f t="shared" ref="R12:R16" si="4">($N12-$M12)</f>
        <v>-1</v>
      </c>
      <c r="S12" s="2">
        <f t="shared" si="0"/>
        <v>-0.2</v>
      </c>
    </row>
    <row r="13" spans="1:19" x14ac:dyDescent="0.4">
      <c r="M13" s="2">
        <v>4159</v>
      </c>
      <c r="N13" s="2">
        <v>4160</v>
      </c>
      <c r="O13" s="2">
        <f t="shared" si="1"/>
        <v>1000</v>
      </c>
      <c r="P13" s="5">
        <f t="shared" si="2"/>
        <v>100</v>
      </c>
      <c r="Q13" s="2">
        <f t="shared" si="3"/>
        <v>10</v>
      </c>
      <c r="R13" s="6">
        <f t="shared" si="4"/>
        <v>1</v>
      </c>
      <c r="S13" s="2">
        <f>($N13-$M13)/5</f>
        <v>0.2</v>
      </c>
    </row>
    <row r="14" spans="1:19" x14ac:dyDescent="0.4">
      <c r="M14" s="2">
        <v>4159</v>
      </c>
      <c r="N14" s="2">
        <v>4163</v>
      </c>
      <c r="O14" s="2">
        <f t="shared" si="1"/>
        <v>4000</v>
      </c>
      <c r="P14" s="5">
        <f t="shared" si="2"/>
        <v>400</v>
      </c>
      <c r="Q14" s="2">
        <f t="shared" si="3"/>
        <v>40</v>
      </c>
      <c r="R14" s="6">
        <f t="shared" si="4"/>
        <v>4</v>
      </c>
      <c r="S14" s="2">
        <f t="shared" ref="S14:S16" si="5">($N14-$M14)/5</f>
        <v>0.8</v>
      </c>
    </row>
    <row r="15" spans="1:19" x14ac:dyDescent="0.4">
      <c r="M15" s="2">
        <v>146</v>
      </c>
      <c r="N15" s="2">
        <v>147</v>
      </c>
      <c r="O15" s="2">
        <f t="shared" si="1"/>
        <v>1000</v>
      </c>
      <c r="P15" s="5">
        <f t="shared" si="2"/>
        <v>100</v>
      </c>
      <c r="Q15" s="2">
        <f t="shared" si="3"/>
        <v>10</v>
      </c>
      <c r="R15" s="6">
        <f t="shared" si="4"/>
        <v>1</v>
      </c>
      <c r="S15" s="2">
        <f t="shared" si="5"/>
        <v>0.2</v>
      </c>
    </row>
    <row r="16" spans="1:19" x14ac:dyDescent="0.4">
      <c r="M16" s="2">
        <v>146</v>
      </c>
      <c r="N16" s="2">
        <v>149</v>
      </c>
      <c r="O16" s="2">
        <f t="shared" si="1"/>
        <v>3000</v>
      </c>
      <c r="P16" s="5">
        <f t="shared" si="2"/>
        <v>300</v>
      </c>
      <c r="Q16" s="2">
        <f t="shared" si="3"/>
        <v>30</v>
      </c>
      <c r="R16" s="6">
        <f t="shared" si="4"/>
        <v>3</v>
      </c>
      <c r="S16" s="2">
        <f t="shared" si="5"/>
        <v>0.6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KBCARD</dc:creator>
  <cp:lastModifiedBy>KBCARD</cp:lastModifiedBy>
  <dcterms:created xsi:type="dcterms:W3CDTF">2026-02-07T09:39:02Z</dcterms:created>
  <dcterms:modified xsi:type="dcterms:W3CDTF">2026-02-08T13:42:30Z</dcterms:modified>
</cp:coreProperties>
</file>